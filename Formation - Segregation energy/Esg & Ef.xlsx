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论文投稿\2026年投稿\Raw datas\Formation - Segregation energy\"/>
    </mc:Choice>
  </mc:AlternateContent>
  <bookViews>
    <workbookView xWindow="0" yWindow="0" windowWidth="26240" windowHeight="13550" activeTab="1"/>
  </bookViews>
  <sheets>
    <sheet name="Sheet1" sheetId="1" r:id="rId1"/>
    <sheet name="Sheet3" sheetId="3" r:id="rId2"/>
  </sheets>
  <calcPr calcId="162913"/>
</workbook>
</file>

<file path=xl/calcChain.xml><?xml version="1.0" encoding="utf-8"?>
<calcChain xmlns="http://schemas.openxmlformats.org/spreadsheetml/2006/main">
  <c r="J7" i="1" l="1"/>
  <c r="F7" i="1" s="1"/>
  <c r="D7" i="1"/>
  <c r="E7" i="1" s="1"/>
  <c r="G7" i="1" s="1"/>
  <c r="H7" i="1" s="1"/>
  <c r="J6" i="1"/>
  <c r="F6" i="1" s="1"/>
  <c r="D6" i="1"/>
  <c r="E6" i="1" s="1"/>
  <c r="J5" i="1"/>
  <c r="F5" i="1" s="1"/>
  <c r="D5" i="1"/>
  <c r="E5" i="1" s="1"/>
  <c r="G5" i="1" s="1"/>
  <c r="H5" i="1" s="1"/>
  <c r="J4" i="1"/>
  <c r="F4" i="1" s="1"/>
  <c r="D4" i="1"/>
  <c r="E4" i="1" s="1"/>
  <c r="J3" i="1"/>
  <c r="F3" i="1" s="1"/>
  <c r="D3" i="1"/>
  <c r="E3" i="1" s="1"/>
  <c r="G3" i="1" s="1"/>
  <c r="H3" i="1" s="1"/>
  <c r="J2" i="1"/>
  <c r="F2" i="1" s="1"/>
  <c r="D2" i="1"/>
  <c r="E2" i="1" s="1"/>
  <c r="G6" i="1" l="1"/>
  <c r="H6" i="1" s="1"/>
  <c r="G4" i="1"/>
  <c r="H4" i="1" s="1"/>
  <c r="G2" i="1"/>
  <c r="H2" i="1" s="1"/>
</calcChain>
</file>

<file path=xl/sharedStrings.xml><?xml version="1.0" encoding="utf-8"?>
<sst xmlns="http://schemas.openxmlformats.org/spreadsheetml/2006/main" count="49" uniqueCount="35">
  <si>
    <t>孪晶面</t>
  </si>
  <si>
    <t>Etwin(eV)</t>
  </si>
  <si>
    <t>Ebulk(eV)</t>
  </si>
  <si>
    <t>ΔE</t>
  </si>
  <si>
    <t>换算mJ</t>
  </si>
  <si>
    <t>孪晶面积*2</t>
  </si>
  <si>
    <t>形成能</t>
  </si>
  <si>
    <t>S(m^2)</t>
  </si>
  <si>
    <t>注意能量阶段是400eV</t>
  </si>
  <si>
    <t>This work</t>
  </si>
  <si>
    <t>ref</t>
  </si>
  <si>
    <t>偏析能</t>
  </si>
  <si>
    <t>Twin boundary</t>
  </si>
  <si>
    <t>site1</t>
  </si>
  <si>
    <t>site2</t>
  </si>
  <si>
    <t>孪晶</t>
  </si>
  <si>
    <t>{1121}</t>
  </si>
  <si>
    <t>{1122}</t>
  </si>
  <si>
    <t>{1124}</t>
  </si>
  <si>
    <t>TB</t>
    <phoneticPr fontId="7" type="noConversion"/>
  </si>
  <si>
    <t>unit conversion mJ</t>
    <phoneticPr fontId="7" type="noConversion"/>
  </si>
  <si>
    <t>twinning area(m^2)</t>
    <phoneticPr fontId="7" type="noConversion"/>
  </si>
  <si>
    <t>修正-90eV (mJ/m2)</t>
    <phoneticPr fontId="7" type="noConversion"/>
  </si>
  <si>
    <r>
      <t>E</t>
    </r>
    <r>
      <rPr>
        <i/>
        <sz val="11"/>
        <color theme="1"/>
        <rFont val="Times New Roman"/>
        <family val="1"/>
      </rPr>
      <t>f(</t>
    </r>
    <r>
      <rPr>
        <sz val="11"/>
        <color theme="1"/>
        <rFont val="Times New Roman"/>
        <family val="1"/>
      </rPr>
      <t>mJ/m^</t>
    </r>
    <r>
      <rPr>
        <sz val="12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phoneticPr fontId="7" type="noConversion"/>
  </si>
  <si>
    <t>TB with O</t>
    <phoneticPr fontId="7" type="noConversion"/>
  </si>
  <si>
    <t>1121-1</t>
    <phoneticPr fontId="7" type="noConversion"/>
  </si>
  <si>
    <t>1121-2</t>
    <phoneticPr fontId="7" type="noConversion"/>
  </si>
  <si>
    <t>1122-1</t>
    <phoneticPr fontId="7" type="noConversion"/>
  </si>
  <si>
    <t>1122-2</t>
    <phoneticPr fontId="7" type="noConversion"/>
  </si>
  <si>
    <t>1124-1</t>
    <phoneticPr fontId="7" type="noConversion"/>
  </si>
  <si>
    <t>1124-2</t>
    <phoneticPr fontId="7" type="noConversion"/>
  </si>
  <si>
    <r>
      <t>Ebulklike</t>
    </r>
    <r>
      <rPr>
        <sz val="11"/>
        <rFont val="宋体"/>
        <family val="3"/>
        <charset val="134"/>
        <scheme val="minor"/>
      </rPr>
      <t>+O</t>
    </r>
    <phoneticPr fontId="7" type="noConversion"/>
  </si>
  <si>
    <r>
      <t>E</t>
    </r>
    <r>
      <rPr>
        <sz val="11"/>
        <rFont val="宋体"/>
        <family val="3"/>
        <charset val="134"/>
        <scheme val="minor"/>
      </rPr>
      <t>TB+O</t>
    </r>
    <phoneticPr fontId="7" type="noConversion"/>
  </si>
  <si>
    <r>
      <t>E</t>
    </r>
    <r>
      <rPr>
        <sz val="11"/>
        <rFont val="宋体"/>
        <family val="3"/>
        <charset val="134"/>
        <scheme val="minor"/>
      </rPr>
      <t>sg(80)</t>
    </r>
    <phoneticPr fontId="7" type="noConversion"/>
  </si>
  <si>
    <r>
      <t>Esg(</t>
    </r>
    <r>
      <rPr>
        <sz val="11"/>
        <color theme="1"/>
        <rFont val="宋体"/>
        <family val="3"/>
        <charset val="134"/>
        <scheme val="minor"/>
      </rPr>
      <t>160</t>
    </r>
    <r>
      <rPr>
        <sz val="11"/>
        <color theme="1"/>
        <rFont val="宋体"/>
        <charset val="134"/>
        <scheme val="minor"/>
      </rPr>
      <t>)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</si>
</sst>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20"/>
      <color theme="1"/>
      <name val="Times New Roman"/>
      <family val="1"/>
    </font>
    <font>
      <sz val="18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4"/>
      <color theme="1"/>
      <name val="宋体"/>
      <family val="3"/>
      <charset val="134"/>
      <scheme val="minor"/>
    </font>
    <font>
      <i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0" borderId="0" xfId="0" applyBorder="1"/>
    <xf numFmtId="0" fontId="13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opLeftCell="A7" workbookViewId="0">
      <selection activeCell="F13" sqref="F13"/>
    </sheetView>
  </sheetViews>
  <sheetFormatPr defaultColWidth="18.08984375" defaultRowHeight="25.5" x14ac:dyDescent="0.25"/>
  <cols>
    <col min="1" max="1" width="13.6328125" style="3" customWidth="1"/>
    <col min="2" max="3" width="18.08984375" style="3" customWidth="1"/>
    <col min="4" max="4" width="15.453125" style="3" customWidth="1"/>
    <col min="5" max="7" width="18.08984375" style="3" customWidth="1"/>
    <col min="8" max="8" width="29.7265625" style="4" customWidth="1"/>
    <col min="9" max="9" width="22.6328125" style="4" customWidth="1"/>
    <col min="10" max="10" width="26.08984375" style="4" customWidth="1"/>
    <col min="11" max="11" width="19.6328125" style="4" customWidth="1"/>
    <col min="12" max="12" width="18.08984375" customWidth="1"/>
  </cols>
  <sheetData>
    <row r="1" spans="1:14" s="1" customFormat="1" ht="17.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2" t="s">
        <v>22</v>
      </c>
      <c r="I1" s="5"/>
      <c r="J1" s="5" t="s">
        <v>7</v>
      </c>
      <c r="K1" s="5"/>
    </row>
    <row r="2" spans="1:14" s="2" customFormat="1" ht="17.5" x14ac:dyDescent="0.3">
      <c r="A2" s="6">
        <v>1011</v>
      </c>
      <c r="B2" s="7">
        <v>-625.69741999999997</v>
      </c>
      <c r="C2" s="7">
        <v>-626.27286000000004</v>
      </c>
      <c r="D2" s="7">
        <f t="shared" ref="D2:D7" si="0">B2-C2</f>
        <v>0.57544000000007145</v>
      </c>
      <c r="E2" s="7">
        <f t="shared" ref="E2:E7" si="1">D2*1.602*10^(-16)</f>
        <v>9.2185488000011447E-17</v>
      </c>
      <c r="F2" s="6">
        <f t="shared" ref="F2:F7" si="2">J2*2</f>
        <v>6.2919774640000007E-19</v>
      </c>
      <c r="G2" s="6">
        <f t="shared" ref="G2:G7" si="3">E2/F2</f>
        <v>146.51274345379861</v>
      </c>
      <c r="H2" s="6">
        <f t="shared" ref="H2:H7" si="4">G2-90</f>
        <v>56.512743453798606</v>
      </c>
      <c r="I2" s="6">
        <v>0.31459887320000002</v>
      </c>
      <c r="J2" s="6">
        <f t="shared" ref="J2:J7" si="5">I2*10^(-18)</f>
        <v>3.1459887320000003E-19</v>
      </c>
      <c r="K2" s="6"/>
    </row>
    <row r="3" spans="1:14" s="2" customFormat="1" ht="17.5" x14ac:dyDescent="0.3">
      <c r="A3" s="6">
        <v>1012</v>
      </c>
      <c r="B3" s="7">
        <v>-624.29121999999995</v>
      </c>
      <c r="C3" s="7">
        <v>-626.27286000000004</v>
      </c>
      <c r="D3" s="7">
        <f t="shared" si="0"/>
        <v>1.981640000000084</v>
      </c>
      <c r="E3" s="7">
        <f t="shared" si="1"/>
        <v>3.1745872800001349E-16</v>
      </c>
      <c r="F3" s="6">
        <f t="shared" si="2"/>
        <v>8.177705924000001E-19</v>
      </c>
      <c r="G3" s="6">
        <f t="shared" si="3"/>
        <v>388.20022503906984</v>
      </c>
      <c r="H3" s="6">
        <f t="shared" si="4"/>
        <v>298.20022503906984</v>
      </c>
      <c r="I3" s="6">
        <v>0.40888529620000003</v>
      </c>
      <c r="J3" s="6">
        <f t="shared" si="5"/>
        <v>4.0888529620000005E-19</v>
      </c>
      <c r="K3" s="6"/>
    </row>
    <row r="4" spans="1:14" s="2" customFormat="1" ht="17.5" x14ac:dyDescent="0.3">
      <c r="A4" s="6">
        <v>1013</v>
      </c>
      <c r="B4" s="7">
        <v>-623.49240999999995</v>
      </c>
      <c r="C4" s="7">
        <v>-626.27286000000004</v>
      </c>
      <c r="D4" s="7">
        <f t="shared" si="0"/>
        <v>2.7804500000000871</v>
      </c>
      <c r="E4" s="7">
        <f t="shared" si="1"/>
        <v>4.4542809000001397E-16</v>
      </c>
      <c r="F4" s="6">
        <f t="shared" si="2"/>
        <v>1.0599641020000001E-18</v>
      </c>
      <c r="G4" s="6">
        <f t="shared" si="3"/>
        <v>420.22941075037835</v>
      </c>
      <c r="H4" s="6">
        <f t="shared" si="4"/>
        <v>330.22941075037835</v>
      </c>
      <c r="I4" s="6">
        <v>0.52998205099999995</v>
      </c>
      <c r="J4" s="6">
        <f t="shared" si="5"/>
        <v>5.2998205100000004E-19</v>
      </c>
      <c r="K4" s="6"/>
    </row>
    <row r="5" spans="1:14" s="2" customFormat="1" ht="17.5" x14ac:dyDescent="0.3">
      <c r="A5" s="6">
        <v>1121</v>
      </c>
      <c r="B5" s="7">
        <v>-624.40574000000004</v>
      </c>
      <c r="C5" s="7">
        <v>-626.27286000000004</v>
      </c>
      <c r="D5" s="7">
        <f t="shared" si="0"/>
        <v>1.8671199999999999</v>
      </c>
      <c r="E5" s="7">
        <f t="shared" si="1"/>
        <v>2.9911262399999999E-16</v>
      </c>
      <c r="F5" s="6">
        <f t="shared" si="2"/>
        <v>1.0028837016000001E-18</v>
      </c>
      <c r="G5" s="6">
        <f t="shared" si="3"/>
        <v>298.25255263675729</v>
      </c>
      <c r="H5" s="6">
        <f t="shared" si="4"/>
        <v>208.25255263675729</v>
      </c>
      <c r="I5" s="6">
        <v>0.50144185080000003</v>
      </c>
      <c r="J5" s="6">
        <f t="shared" si="5"/>
        <v>5.0144185080000005E-19</v>
      </c>
      <c r="K5" s="6"/>
    </row>
    <row r="6" spans="1:14" s="2" customFormat="1" ht="17.5" x14ac:dyDescent="0.3">
      <c r="A6" s="6">
        <v>1122</v>
      </c>
      <c r="B6" s="7">
        <v>-623.11956999999995</v>
      </c>
      <c r="C6" s="7">
        <v>-626.27286000000004</v>
      </c>
      <c r="D6" s="7">
        <f t="shared" si="0"/>
        <v>3.1532900000000836</v>
      </c>
      <c r="E6" s="7">
        <f t="shared" si="1"/>
        <v>5.0515705800001342E-16</v>
      </c>
      <c r="F6" s="6">
        <f t="shared" si="2"/>
        <v>1.1307611348E-18</v>
      </c>
      <c r="G6" s="6">
        <f t="shared" si="3"/>
        <v>446.74073281565478</v>
      </c>
      <c r="H6" s="6">
        <f t="shared" si="4"/>
        <v>356.74073281565478</v>
      </c>
      <c r="I6" s="6">
        <v>0.56538056739999998</v>
      </c>
      <c r="J6" s="6">
        <f t="shared" si="5"/>
        <v>5.6538056740000002E-19</v>
      </c>
      <c r="K6" s="6"/>
    </row>
    <row r="7" spans="1:14" s="2" customFormat="1" ht="17.5" x14ac:dyDescent="0.3">
      <c r="A7" s="6">
        <v>1124</v>
      </c>
      <c r="B7" s="7">
        <v>-623.40418</v>
      </c>
      <c r="C7" s="7">
        <v>-626.27286000000004</v>
      </c>
      <c r="D7" s="7">
        <f t="shared" si="0"/>
        <v>2.8686800000000403</v>
      </c>
      <c r="E7" s="7">
        <f t="shared" si="1"/>
        <v>4.5956253600000648E-16</v>
      </c>
      <c r="F7" s="6">
        <f t="shared" si="2"/>
        <v>7.6975857200000001E-19</v>
      </c>
      <c r="G7" s="6">
        <f t="shared" si="3"/>
        <v>597.02165421290886</v>
      </c>
      <c r="H7" s="6">
        <f t="shared" si="4"/>
        <v>507.02165421290886</v>
      </c>
      <c r="I7" s="6">
        <v>0.38487928599999999</v>
      </c>
      <c r="J7" s="6">
        <f t="shared" si="5"/>
        <v>3.8487928600000001E-19</v>
      </c>
      <c r="K7" s="6"/>
    </row>
    <row r="8" spans="1:14" s="2" customFormat="1" ht="17.5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4" s="2" customFormat="1" ht="17.5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4" s="2" customFormat="1" ht="17.5" x14ac:dyDescent="0.3">
      <c r="A10" s="8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4" s="2" customFormat="1" ht="17.5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4" s="2" customFormat="1" x14ac:dyDescent="0.3">
      <c r="A12" s="6"/>
      <c r="B12" s="7"/>
      <c r="C12" s="6"/>
      <c r="D12" s="6"/>
      <c r="E12" s="6"/>
      <c r="F12" s="6"/>
      <c r="G12" s="6"/>
      <c r="H12" s="6"/>
      <c r="I12" s="10" t="s">
        <v>9</v>
      </c>
      <c r="J12" s="10"/>
      <c r="K12" s="10"/>
      <c r="L12" s="11" t="s">
        <v>10</v>
      </c>
      <c r="M12" s="11"/>
    </row>
    <row r="13" spans="1:14" s="2" customFormat="1" x14ac:dyDescent="0.3">
      <c r="A13" s="6"/>
      <c r="B13" s="7"/>
      <c r="C13" s="6"/>
      <c r="D13" s="6"/>
      <c r="E13" s="6"/>
      <c r="F13" s="6"/>
      <c r="G13" s="6"/>
      <c r="H13" s="6"/>
      <c r="I13" s="11" t="s">
        <v>6</v>
      </c>
      <c r="J13" s="11" t="s">
        <v>11</v>
      </c>
      <c r="K13" s="11"/>
      <c r="L13" s="11" t="s">
        <v>6</v>
      </c>
      <c r="M13" s="11" t="s">
        <v>11</v>
      </c>
      <c r="N13" s="11"/>
    </row>
    <row r="14" spans="1:14" s="2" customFormat="1" x14ac:dyDescent="0.3">
      <c r="A14" s="6"/>
      <c r="B14" s="6"/>
      <c r="C14" s="6"/>
      <c r="D14" s="6"/>
      <c r="E14" s="6"/>
      <c r="F14" s="6"/>
      <c r="G14" s="6"/>
      <c r="H14" s="3" t="s">
        <v>12</v>
      </c>
      <c r="I14" s="11"/>
      <c r="J14" s="3" t="s">
        <v>13</v>
      </c>
      <c r="K14" s="3" t="s">
        <v>14</v>
      </c>
      <c r="L14" s="11"/>
      <c r="M14" s="3" t="s">
        <v>13</v>
      </c>
      <c r="N14" s="3" t="s">
        <v>14</v>
      </c>
    </row>
    <row r="15" spans="1:14" x14ac:dyDescent="0.25">
      <c r="B15" s="3" t="s">
        <v>15</v>
      </c>
      <c r="C15" s="3" t="s">
        <v>16</v>
      </c>
      <c r="D15" s="3" t="s">
        <v>17</v>
      </c>
      <c r="E15" s="3" t="s">
        <v>18</v>
      </c>
      <c r="H15" s="3" t="s">
        <v>16</v>
      </c>
      <c r="I15" s="3">
        <v>208</v>
      </c>
      <c r="J15" s="3">
        <v>106</v>
      </c>
      <c r="K15" s="3">
        <v>-41</v>
      </c>
      <c r="L15" s="3">
        <v>257</v>
      </c>
      <c r="M15" s="9">
        <v>97</v>
      </c>
      <c r="N15" s="9">
        <v>-43</v>
      </c>
    </row>
    <row r="16" spans="1:14" x14ac:dyDescent="0.25">
      <c r="B16" s="3" t="s">
        <v>6</v>
      </c>
      <c r="H16" s="3" t="s">
        <v>17</v>
      </c>
      <c r="I16" s="3">
        <v>356</v>
      </c>
      <c r="J16" s="9">
        <v>370</v>
      </c>
      <c r="K16" s="9">
        <v>104</v>
      </c>
      <c r="L16" s="3">
        <v>384</v>
      </c>
      <c r="M16" s="9">
        <v>410</v>
      </c>
      <c r="N16" s="9">
        <v>96</v>
      </c>
    </row>
    <row r="17" spans="2:14" x14ac:dyDescent="0.25">
      <c r="B17" s="3" t="s">
        <v>13</v>
      </c>
      <c r="H17" s="3" t="s">
        <v>18</v>
      </c>
      <c r="I17" s="3">
        <v>507</v>
      </c>
      <c r="J17" s="9">
        <v>188</v>
      </c>
      <c r="K17" s="9">
        <v>-97</v>
      </c>
      <c r="L17" s="3">
        <v>0</v>
      </c>
      <c r="M17" s="9">
        <v>150</v>
      </c>
      <c r="N17">
        <v>0</v>
      </c>
    </row>
    <row r="18" spans="2:14" x14ac:dyDescent="0.25">
      <c r="B18" s="3" t="s">
        <v>14</v>
      </c>
    </row>
  </sheetData>
  <mergeCells count="6">
    <mergeCell ref="I12:K12"/>
    <mergeCell ref="L12:M12"/>
    <mergeCell ref="J13:K13"/>
    <mergeCell ref="M13:N13"/>
    <mergeCell ref="I13:I14"/>
    <mergeCell ref="L13:L14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E20" sqref="E20"/>
    </sheetView>
  </sheetViews>
  <sheetFormatPr defaultRowHeight="14" x14ac:dyDescent="0.25"/>
  <cols>
    <col min="1" max="1" width="10.6328125" customWidth="1"/>
    <col min="2" max="2" width="15.453125" customWidth="1"/>
    <col min="3" max="3" width="14.90625" customWidth="1"/>
    <col min="4" max="4" width="14.81640625" customWidth="1"/>
    <col min="5" max="5" width="17" customWidth="1"/>
    <col min="6" max="6" width="19.36328125" customWidth="1"/>
    <col min="7" max="7" width="19" customWidth="1"/>
    <col min="8" max="8" width="11.81640625" customWidth="1"/>
  </cols>
  <sheetData>
    <row r="1" spans="1:7" ht="15.5" x14ac:dyDescent="0.25">
      <c r="A1" s="15" t="s">
        <v>19</v>
      </c>
      <c r="B1" s="15" t="s">
        <v>1</v>
      </c>
      <c r="C1" s="15" t="s">
        <v>2</v>
      </c>
      <c r="D1" s="15" t="s">
        <v>3</v>
      </c>
      <c r="E1" s="15" t="s">
        <v>20</v>
      </c>
      <c r="F1" s="15" t="s">
        <v>21</v>
      </c>
      <c r="G1" s="15" t="s">
        <v>23</v>
      </c>
    </row>
    <row r="2" spans="1:7" x14ac:dyDescent="0.25">
      <c r="A2" s="15">
        <v>1121</v>
      </c>
      <c r="B2" s="15">
        <v>-624.40574000000004</v>
      </c>
      <c r="C2" s="15">
        <v>-626.27286000000004</v>
      </c>
      <c r="D2" s="15">
        <v>1.8671199999999999</v>
      </c>
      <c r="E2" s="15">
        <v>2.9911262399999999E-16</v>
      </c>
      <c r="F2" s="15">
        <v>1.3104459097813916E-18</v>
      </c>
      <c r="G2" s="15">
        <v>228.252552636757</v>
      </c>
    </row>
    <row r="3" spans="1:7" x14ac:dyDescent="0.25">
      <c r="A3" s="15">
        <v>1122</v>
      </c>
      <c r="B3" s="15">
        <v>-623.11956999999995</v>
      </c>
      <c r="C3" s="15">
        <v>-626.27286000000004</v>
      </c>
      <c r="D3" s="15">
        <v>3.1532900000000836</v>
      </c>
      <c r="E3" s="15">
        <v>5.0515705800001342E-16</v>
      </c>
      <c r="F3" s="15">
        <v>1.4160341433761996E-18</v>
      </c>
      <c r="G3" s="15">
        <v>356.74073281565478</v>
      </c>
    </row>
    <row r="4" spans="1:7" x14ac:dyDescent="0.25">
      <c r="A4" s="15">
        <v>1124</v>
      </c>
      <c r="B4" s="15">
        <v>-623.40418</v>
      </c>
      <c r="C4" s="15">
        <v>-626.27286000000004</v>
      </c>
      <c r="D4" s="15">
        <v>2.8686800000000403</v>
      </c>
      <c r="E4" s="15">
        <v>4.5956253600000648E-16</v>
      </c>
      <c r="F4" s="15">
        <v>9.063962696295939E-19</v>
      </c>
      <c r="G4" s="15">
        <v>507.02165421290886</v>
      </c>
    </row>
    <row r="5" spans="1:7" x14ac:dyDescent="0.25">
      <c r="A5" s="14"/>
      <c r="B5" s="14"/>
      <c r="C5" s="14"/>
      <c r="D5" s="14"/>
      <c r="E5" s="14"/>
      <c r="F5" s="14"/>
      <c r="G5" s="14"/>
    </row>
    <row r="6" spans="1:7" x14ac:dyDescent="0.25">
      <c r="A6" s="13" t="s">
        <v>24</v>
      </c>
      <c r="B6" s="13" t="s">
        <v>32</v>
      </c>
      <c r="C6" s="13" t="s">
        <v>31</v>
      </c>
      <c r="D6" s="13" t="s">
        <v>33</v>
      </c>
      <c r="E6" s="13" t="s">
        <v>34</v>
      </c>
      <c r="F6" s="14"/>
      <c r="G6" s="14"/>
    </row>
    <row r="7" spans="1:7" x14ac:dyDescent="0.25">
      <c r="A7" s="15" t="s">
        <v>25</v>
      </c>
      <c r="B7" s="15">
        <v>-633.92651999999998</v>
      </c>
      <c r="C7" s="15">
        <v>-740.18028000000004</v>
      </c>
      <c r="D7" s="15">
        <v>106.25376</v>
      </c>
      <c r="E7" s="15">
        <v>136.46786</v>
      </c>
      <c r="F7" s="14"/>
      <c r="G7" s="14"/>
    </row>
    <row r="8" spans="1:7" x14ac:dyDescent="0.25">
      <c r="A8" s="15" t="s">
        <v>26</v>
      </c>
      <c r="B8" s="15">
        <v>-635.03588999999999</v>
      </c>
      <c r="C8" s="15">
        <v>-593.56655999999998</v>
      </c>
      <c r="D8" s="15">
        <v>-41.469329999999999</v>
      </c>
      <c r="E8" s="15">
        <v>-62.571980000000003</v>
      </c>
      <c r="F8" s="14"/>
      <c r="G8" s="14"/>
    </row>
    <row r="9" spans="1:7" x14ac:dyDescent="0.25">
      <c r="A9" s="15" t="s">
        <v>27</v>
      </c>
      <c r="B9" s="15">
        <v>-632.69236999999998</v>
      </c>
      <c r="C9" s="15">
        <v>-1011.9772800000001</v>
      </c>
      <c r="D9" s="15">
        <v>379.28491000000002</v>
      </c>
      <c r="E9" s="15">
        <v>413.34714000000002</v>
      </c>
      <c r="F9" s="14"/>
      <c r="G9" s="14"/>
    </row>
    <row r="10" spans="1:7" x14ac:dyDescent="0.25">
      <c r="A10" s="15" t="s">
        <v>28</v>
      </c>
      <c r="B10" s="15">
        <v>-633.76134000000002</v>
      </c>
      <c r="C10" s="15">
        <v>-747.99323000000004</v>
      </c>
      <c r="D10" s="15">
        <v>114.23189000000001</v>
      </c>
      <c r="E10" s="15">
        <v>136.70671999999999</v>
      </c>
      <c r="F10" s="14"/>
      <c r="G10" s="14"/>
    </row>
    <row r="11" spans="1:7" x14ac:dyDescent="0.25">
      <c r="A11" s="15" t="s">
        <v>29</v>
      </c>
      <c r="B11" s="15">
        <v>-633.79553999999996</v>
      </c>
      <c r="C11" s="15">
        <v>-822.51495999999997</v>
      </c>
      <c r="D11" s="15">
        <v>188.71942000000001</v>
      </c>
      <c r="E11" s="15">
        <v>266.36182000000002</v>
      </c>
      <c r="F11" s="14"/>
      <c r="G11" s="14"/>
    </row>
    <row r="12" spans="1:7" x14ac:dyDescent="0.25">
      <c r="A12" s="15" t="s">
        <v>30</v>
      </c>
      <c r="B12" s="15">
        <v>-632.70344999999998</v>
      </c>
      <c r="C12" s="15">
        <v>-535.32495999999992</v>
      </c>
      <c r="D12" s="15">
        <v>-97.378489999999999</v>
      </c>
      <c r="E12" s="15">
        <v>-135.17367999999999</v>
      </c>
      <c r="F12" s="14"/>
      <c r="G12" s="14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陶麒鹦</cp:lastModifiedBy>
  <dcterms:created xsi:type="dcterms:W3CDTF">2006-09-16T00:00:00Z</dcterms:created>
  <dcterms:modified xsi:type="dcterms:W3CDTF">2026-02-13T06:09:38Z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